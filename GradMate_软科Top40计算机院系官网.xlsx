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Top40主目录" sheetId="1" r:id="rId1"/>
    <sheet name="扩展相关院系" sheetId="2" r:id="rId2"/>
    <sheet name="使用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<sst xmlns="http://schemas.openxmlformats.org/spreadsheetml/2006/main" count="422" uniqueCount="275">
  <si>
    <t>2026软科中国大学排名 Top 40：计算机相关院系官网目录</t>
  </si>
  <si>
    <t>排名口径：2026软科中国大学排名（主榜）｜链接核验日期：2026-07-10｜优先列出主要计算机院系</t>
  </si>
  <si>
    <t>排名</t>
  </si>
  <si>
    <t>学校</t>
  </si>
  <si>
    <t>主要计算机相关院系</t>
  </si>
  <si>
    <t>院系官网</t>
  </si>
  <si>
    <t>教师名录/师资页</t>
  </si>
  <si>
    <t>核验状态</t>
  </si>
  <si>
    <t>备注</t>
  </si>
  <si>
    <t>排名来源</t>
  </si>
  <si>
    <t>清华大学</t>
  </si>
  <si>
    <t>计算机科学与技术系</t>
  </si>
  <si>
    <t>https://www.cs.tsinghua.edu.cn/</t>
  </si>
  <si>
    <t>https://www.cs.tsinghua.edu.cn/szzk/jzgml.htm</t>
  </si>
  <si>
    <t>已找到独立教师名录</t>
  </si>
  <si>
    <t>主要计算机院系</t>
  </si>
  <si>
    <t>https://www.shanghairanking.cn/rankings/bcur/2026</t>
  </si>
  <si>
    <t>北京大学</t>
  </si>
  <si>
    <t>计算机学院</t>
  </si>
  <si>
    <t>https://cs.pku.edu.cn/</t>
  </si>
  <si>
    <t>https://cs.pku.edu.cn/szdw/jyxl/amz/ALL.htm</t>
  </si>
  <si>
    <t>教师页为全体教师总览</t>
  </si>
  <si>
    <t>浙江大学</t>
  </si>
  <si>
    <t>计算机科学与技术学院</t>
  </si>
  <si>
    <t>https://www.cs.zju.edu.cn/</t>
  </si>
  <si>
    <t>https://www.cs.zju.edu.cn/csen/26695/list.htm</t>
  </si>
  <si>
    <t>教师页为学院师资概况/列表</t>
  </si>
  <si>
    <t>上海交通大学</t>
  </si>
  <si>
    <t>https://www.cs.sjtu.edu.cn/</t>
  </si>
  <si>
    <t>https://www.cs.sjtu.edu.cn/szdw.html</t>
  </si>
  <si>
    <t>复旦大学</t>
  </si>
  <si>
    <t>计算机科学技术学院</t>
  </si>
  <si>
    <t>https://cs.fudan.edu.cn/</t>
  </si>
  <si>
    <t>https://cs.fudan.edu.cn/24824/list.htm</t>
  </si>
  <si>
    <t>教师页为教授列表；官网另有其他职称栏目</t>
  </si>
  <si>
    <t>南京大学</t>
  </si>
  <si>
    <t>https://cs.nju.edu.cn/</t>
  </si>
  <si>
    <t>https://cs.nju.edu.cn/1651/listm.htm</t>
  </si>
  <si>
    <t>中国科学技术大学</t>
  </si>
  <si>
    <t>https://cs.ustc.edu.cn/</t>
  </si>
  <si>
    <t/>
  </si>
  <si>
    <t>官网有师资栏目，未找到稳定汇总页</t>
  </si>
  <si>
    <t>建议进入官网后点击“师资队伍”</t>
  </si>
  <si>
    <t>武汉大学</t>
  </si>
  <si>
    <t>https://cs.whu.edu.cn/</t>
  </si>
  <si>
    <t>https://cs.whu.edu.cn/szdw/zrjs.htm</t>
  </si>
  <si>
    <t>建议手动打开官网后进入“师资队伍/导师名册”</t>
  </si>
  <si>
    <t>华中科技大学</t>
  </si>
  <si>
    <t>https://cs.hust.edu.cn/</t>
  </si>
  <si>
    <t>https://cs.hust.edu.cn/szdw/jsml/axmpyszmlb.htm</t>
  </si>
  <si>
    <t>教师名录按姓名拼音展示</t>
  </si>
  <si>
    <t>西安交通大学</t>
  </si>
  <si>
    <t>https://cs.xjtu.edu.cn/</t>
  </si>
  <si>
    <t>官网存在，独立教师汇总页未稳定核验</t>
  </si>
  <si>
    <t>可从官网“师资队伍”进入；另有学校教师主页系统</t>
  </si>
  <si>
    <t>北京航空航天大学</t>
  </si>
  <si>
    <t>https://scse.buaa.edu.cn/</t>
  </si>
  <si>
    <t>https://scse.buaa.edu.cn/szdw/qtjs.htm</t>
  </si>
  <si>
    <t>全体教师页面</t>
  </si>
  <si>
    <t>哈尔滨工业大学</t>
  </si>
  <si>
    <t>计算学部</t>
  </si>
  <si>
    <t>https://computing.hit.edu.cn/</t>
  </si>
  <si>
    <t>https://computing.hit.edu.cn/jsml/list.htm</t>
  </si>
  <si>
    <t>计算学部覆盖计算机、软件等方向</t>
  </si>
  <si>
    <t>中山大学</t>
  </si>
  <si>
    <t>https://cse.sysu.edu.cn/</t>
  </si>
  <si>
    <t>https://cse.sysu.edu.cn/faculty</t>
  </si>
  <si>
    <t>Faculty 页面</t>
  </si>
  <si>
    <t>北京理工大学</t>
  </si>
  <si>
    <t>https://cs.bit.edu.cn/</t>
  </si>
  <si>
    <t>https://cs.bit.edu.cn/szdw/jsml/index.htm</t>
  </si>
  <si>
    <t>教师名录</t>
  </si>
  <si>
    <t>东南大学</t>
  </si>
  <si>
    <t>计算机科学与工程学院</t>
  </si>
  <si>
    <t>https://cs.seu.edu.cn/</t>
  </si>
  <si>
    <t>https://cse.seu.edu.cn/szdw_48203/list.htm</t>
  </si>
  <si>
    <t>已找到师资栏目页</t>
  </si>
  <si>
    <t>学院官网与师资页使用不同官方子域名</t>
  </si>
  <si>
    <t>四川大学</t>
  </si>
  <si>
    <t>https://cs.scu.edu.cn/</t>
  </si>
  <si>
    <t>https://cs.scu.edu.cn/szdw.htm</t>
  </si>
  <si>
    <t>中国人民大学</t>
  </si>
  <si>
    <t>信息学院</t>
  </si>
  <si>
    <t>https://info.ruc.edu.cn/</t>
  </si>
  <si>
    <t>https://info.ruc.edu.cn/jsky/szdw/ajxjgcx/bx/szbsh/index.htm</t>
  </si>
  <si>
    <t>已找到师资查询页</t>
  </si>
  <si>
    <t>师资页支持按教学机构/职称查询</t>
  </si>
  <si>
    <t>同济大学</t>
  </si>
  <si>
    <t>https://cs.tongji.edu.cn/</t>
  </si>
  <si>
    <t>https://cs.tongji.edu.cn/szdw/jsml_azc_.htm</t>
  </si>
  <si>
    <t>按字母排序教师名录</t>
  </si>
  <si>
    <t>北京师范大学</t>
  </si>
  <si>
    <t>人工智能学院</t>
  </si>
  <si>
    <t>https://ai.bnu.edu.cn/</t>
  </si>
  <si>
    <t>https://ai.bnu.edu.cn/xygk/szdw/index.htm</t>
  </si>
  <si>
    <t>北师大主要计算机/AI相关院系</t>
  </si>
  <si>
    <t>天津大学</t>
  </si>
  <si>
    <t>智能与计算学部</t>
  </si>
  <si>
    <t>https://cic.tju.edu.cn/</t>
  </si>
  <si>
    <t>https://cic.tju.edu.cn/szdw.htm</t>
  </si>
  <si>
    <t>覆盖计算机、软件、人工智能等方向</t>
  </si>
  <si>
    <t>南开大学</t>
  </si>
  <si>
    <t>https://cc.nankai.edu.cn/</t>
  </si>
  <si>
    <t>https://cc.nankai.edu.cn/jswyjy/list.htm</t>
  </si>
  <si>
    <t>链接为教授/研究员列表；另有副教授、讲师栏目</t>
  </si>
  <si>
    <t>山东大学</t>
  </si>
  <si>
    <t>https://www.cs.sdu.edu.cn/</t>
  </si>
  <si>
    <t>https://www.cs.sdu.edu.cn/szdw1/js.htm</t>
  </si>
  <si>
    <t>链接为教授列表；官网另有其他职称栏目</t>
  </si>
  <si>
    <t>西北工业大学</t>
  </si>
  <si>
    <t>https://jsj.nwpu.edu.cn/</t>
  </si>
  <si>
    <t>https://jsj.nwpu.edu.cn/snew/szdw.htm</t>
  </si>
  <si>
    <t>按系所与职称展示</t>
  </si>
  <si>
    <t>中国农业大学</t>
  </si>
  <si>
    <t>信息与电气工程学院</t>
  </si>
  <si>
    <t>https://ciee.cau.edu.cn/</t>
  </si>
  <si>
    <t>https://ciee.cau.edu.cn/col/col26690/index.html</t>
  </si>
  <si>
    <t>已找到师资队伍页</t>
  </si>
  <si>
    <t>计算机、数据科学、人工智能等专业主要归属该院</t>
  </si>
  <si>
    <t>厦门大学</t>
  </si>
  <si>
    <t>https://informatics.xmu.edu.cn/</t>
  </si>
  <si>
    <t>https://informatics.xmu.edu.cn/list_teacher.jsp?checkaggregatequeryid=1132&amp;collegeid=1532&amp;faggregatequeryid=&amp;language=zh_CN&amp;postdutyid=1132&amp;urltype=tp.TpCollegeZWTeachers&amp;wbtreeid=2171</t>
  </si>
  <si>
    <t>信息学院含计算机、人工智能、软件等系</t>
  </si>
  <si>
    <t>吉林大学</t>
  </si>
  <si>
    <t>https://ccst.jlu.edu.cn/</t>
  </si>
  <si>
    <t>https://ccst.jlu.edu.cn/szdw/js.htm</t>
  </si>
  <si>
    <t>链接为教授列表；另有副教授、讲师等栏目</t>
  </si>
  <si>
    <t>中南大学</t>
  </si>
  <si>
    <t>https://cse.csu.edu.cn/</t>
  </si>
  <si>
    <t>https://cse.csu.edu.cn/szdw/jsml.htm</t>
  </si>
  <si>
    <t>另有研究生导师名单</t>
  </si>
  <si>
    <t>大连理工大学</t>
  </si>
  <si>
    <t>https://cs.dlut.edu.cn/</t>
  </si>
  <si>
    <t>https://cs.dlut.edu.cn/szdw/jsgk.htm</t>
  </si>
  <si>
    <t>教师概况页面含教师信息</t>
  </si>
  <si>
    <t>华东师范大学</t>
  </si>
  <si>
    <t>https://cs.ecnu.edu.cn/</t>
  </si>
  <si>
    <t>https://www.cs.ecnu.edu.cn/jzgml/listm.htm</t>
  </si>
  <si>
    <t>南方科技大学</t>
  </si>
  <si>
    <t>计算机科学与工程系</t>
  </si>
  <si>
    <t>https://cse.sustech.edu.cn/</t>
  </si>
  <si>
    <t>https://cse.sustech.edu.cn/faculty/</t>
  </si>
  <si>
    <t>全职教师列表</t>
  </si>
  <si>
    <t>湖南大学</t>
  </si>
  <si>
    <t>信息科学与工程学院</t>
  </si>
  <si>
    <t>https://csee.hnu.edu.cn/</t>
  </si>
  <si>
    <t>https://csee.hnu.edu.cn/xygk/szll.htm</t>
  </si>
  <si>
    <t>已找到师资导航页</t>
  </si>
  <si>
    <t>按计算机科学系、软件工程系、网络空间安全系等分类浏览</t>
  </si>
  <si>
    <t>华南理工大学</t>
  </si>
  <si>
    <t>https://www2.scut.edu.cn/cs/</t>
  </si>
  <si>
    <t>https://www2.scut.edu.cn/cs/22243/main.htm</t>
  </si>
  <si>
    <t>教师列表包含研究方向；另有详细职称分类页</t>
  </si>
  <si>
    <t>电子科技大学</t>
  </si>
  <si>
    <t>计算机科学与工程学院（网络空间安全学院）</t>
  </si>
  <si>
    <t>https://www.scse.uestc.edu.cn/</t>
  </si>
  <si>
    <t>https://www.scse.uestc.edu.cn/js_sz.jsp?urltype=tree.TreeTempUrl&amp;wbtreeid=1081</t>
  </si>
  <si>
    <t>师资介绍页面可进入教师个人主页</t>
  </si>
  <si>
    <t>重庆大学</t>
  </si>
  <si>
    <t>https://cs.cqu.edu.cn/</t>
  </si>
  <si>
    <t>https://cs.cqu.edu.cn/szdw/bdsd.htm</t>
  </si>
  <si>
    <t>已找到博导硕导名录</t>
  </si>
  <si>
    <t>对 GradMate 导师筛选较实用</t>
  </si>
  <si>
    <t>北京科技大学</t>
  </si>
  <si>
    <t>计算机与通信工程学院</t>
  </si>
  <si>
    <t>https://scce.ustb.edu.cn/</t>
  </si>
  <si>
    <t>https://faculty.ustb.edu.cn/xyjslb.jsp?id=1660&amp;lang=zh_CN&amp;st=0&amp;urltype=tsites.CollegeTeacherList&amp;wbtreeid=1013</t>
  </si>
  <si>
    <t>学校教师主页系统按学院汇总</t>
  </si>
  <si>
    <t>南京理工大学</t>
  </si>
  <si>
    <t>https://cs.njust.edu.cn/</t>
  </si>
  <si>
    <t>https://cs.njust.edu.cn/1729/list.htm</t>
  </si>
  <si>
    <t>已找到师资分类页</t>
  </si>
  <si>
    <t>链接为教授列表；官网另有副教授、讲师栏目</t>
  </si>
  <si>
    <t>南京航空航天大学</t>
  </si>
  <si>
    <t>计算机科学与技术学院/软件学院</t>
  </si>
  <si>
    <t>https://cs.nuaa.edu.cn/</t>
  </si>
  <si>
    <t>https://cs.nuaa.edu.cn/7382/list.htm</t>
  </si>
  <si>
    <t>按系所和职称展示学院教师</t>
  </si>
  <si>
    <t>东北大学</t>
  </si>
  <si>
    <t>https://www.cse.neu.edu.cn/</t>
  </si>
  <si>
    <t>https://www.cse.neu.edu.cn/6314/list.htm</t>
  </si>
  <si>
    <t>教师名录按计算机科学、工程、通信、人工智能等系展示</t>
  </si>
  <si>
    <t>西安电子科技大学</t>
  </si>
  <si>
    <t>计算机科学与技术学院（国家示范性软件学院）</t>
  </si>
  <si>
    <t>https://cs.xidian.edu.cn/</t>
  </si>
  <si>
    <t>https://cs.xidian.edu.cn/szdw/dsjs.htm</t>
  </si>
  <si>
    <t>已找到导师名录</t>
  </si>
  <si>
    <t>按博士生导师、硕士生导师和学科分类</t>
  </si>
  <si>
    <t>兰州大学</t>
  </si>
  <si>
    <t>https://xxxy.lzu.edu.cn/</t>
  </si>
  <si>
    <t>https://xxxy.lzu.edu.cn/shiziduiwu/jiaoshiduiwu/fujiaoshou/index.html</t>
  </si>
  <si>
    <t>链接为副教授列表；官网另有教授、青年研究员、讲师栏目</t>
  </si>
  <si>
    <t>部分高校的其他计算机相关院系（软件、人工智能、网安、数据科学等）</t>
  </si>
  <si>
    <t>本表不是穷尽清单，主要补充对 GradMate 导师检索较有价值的相关院系。</t>
  </si>
  <si>
    <t>软科排名</t>
  </si>
  <si>
    <t>相关院系</t>
  </si>
  <si>
    <t>软件学院</t>
  </si>
  <si>
    <t>https://www.thss.tsinghua.edu.cn/</t>
  </si>
  <si>
    <t>https://www.thss.tsinghua.edu.cn/szdw/jsml.htm</t>
  </si>
  <si>
    <t>教师名录完整</t>
  </si>
  <si>
    <t>人工智能研究院</t>
  </si>
  <si>
    <t>https://www.ai.pku.edu.cn/</t>
  </si>
  <si>
    <t>官网可按研究中心和教师个人页浏览，未找到统一总名录页</t>
  </si>
  <si>
    <t>网络空间安全学院</t>
  </si>
  <si>
    <t>https://icsr.zju.edu.cn/</t>
  </si>
  <si>
    <t>https://icsr.zju.edu.cn/szdw/list.htm</t>
  </si>
  <si>
    <t>教师队伍页面完整</t>
  </si>
  <si>
    <t>计算与智能创新学院</t>
  </si>
  <si>
    <t>https://ai.fudan.edu.cn/</t>
  </si>
  <si>
    <t>学院整合计算机、人工智能等方向，教师页暂未找到稳定汇总入口</t>
  </si>
  <si>
    <t>https://ai.nju.edu.cn/</t>
  </si>
  <si>
    <t>https://ai.nju.edu.cn/_s391/people/list.psp</t>
  </si>
  <si>
    <t>教职工名录/教师页面</t>
  </si>
  <si>
    <t>https://cybersec.xjtu.edu.cn/</t>
  </si>
  <si>
    <t>https://cybersec.xjtu.edu.cn/info/1013/1733.htm</t>
  </si>
  <si>
    <t>链接为教师个人页示例；官网师资栏目可按职称浏览</t>
  </si>
  <si>
    <t>https://software.hit.edu.cn/</t>
  </si>
  <si>
    <t>可从官网师资栏目继续筛选</t>
  </si>
  <si>
    <t>软件工程学院</t>
  </si>
  <si>
    <t>https://ssse.sysu.edu.cn/</t>
  </si>
  <si>
    <t>https://ssse.sysu.edu.cn/teachers</t>
  </si>
  <si>
    <t>教师页面</t>
  </si>
  <si>
    <t>高瓴人工智能学院</t>
  </si>
  <si>
    <t>https://ai.ruc.edu.cn/</t>
  </si>
  <si>
    <t>官网含教师队伍栏目，独立总名录页结构可能变化</t>
  </si>
  <si>
    <t>https://sse.tongji.edu.cn/</t>
  </si>
  <si>
    <t>https://sse.tongji.edu.cn/szdw/jsml_azy_.htm</t>
  </si>
  <si>
    <t>按专业/字母浏览教师</t>
  </si>
  <si>
    <t>https://cyber.nankai.edu.cn/</t>
  </si>
  <si>
    <t>官网含师资与导师相关栏目</t>
  </si>
  <si>
    <t>https://www.ai.sdu.edu.cn/</t>
  </si>
  <si>
    <t>官网含学院新闻与师资相关栏目</t>
  </si>
  <si>
    <t>https://software.jlu.edu.cn/</t>
  </si>
  <si>
    <t>可从官网师资栏目进入</t>
  </si>
  <si>
    <t>https://ai.jlu.edu.cn/</t>
  </si>
  <si>
    <t>https://se.ecnu.edu.cn/</t>
  </si>
  <si>
    <t>计算机相关扩展院系</t>
  </si>
  <si>
    <t>数据科学与工程学院</t>
  </si>
  <si>
    <t>https://dase.ecnu.edu.cn/</t>
  </si>
  <si>
    <t>计算机/数据科学相关扩展院系</t>
  </si>
  <si>
    <t>软件工程系</t>
  </si>
  <si>
    <t>https://csee.hnu.edu.cn/jg/rjgc</t>
  </si>
  <si>
    <t>官网页面直接列出教授、副教授、助理教授</t>
  </si>
  <si>
    <t>信息与软件工程学院</t>
  </si>
  <si>
    <t>https://sise.uestc.edu.cn/</t>
  </si>
  <si>
    <t>https://sise.uestc.edu.cn/xygk/szdwq/js.htm</t>
  </si>
  <si>
    <t>链接为正高教师列表；另有副高、讲师等栏目</t>
  </si>
  <si>
    <t>大数据与软件学院</t>
  </si>
  <si>
    <t>https://www.cse.cqu.edu.cn/</t>
  </si>
  <si>
    <t>https://www.cse.cqu.edu.cn/szdw/js_yjy.htm</t>
  </si>
  <si>
    <t>链接为教授/研究员列表</t>
  </si>
  <si>
    <t>https://sc.neu.edu.cn/mainm.htm</t>
  </si>
  <si>
    <t>https://sc.neu.edu.cn/102/listm.htm</t>
  </si>
  <si>
    <t>教师名录按软件工程、信息安全、数字媒体技术系展示</t>
  </si>
  <si>
    <t>网络与信息安全学院</t>
  </si>
  <si>
    <t>https://ce.xidian.edu.cn/</t>
  </si>
  <si>
    <t>https://faculty.xidian.edu.cn/xyjslb.jsp?id=1596&amp;lang=zh_CN&amp;st=0&amp;urltype=tsites.CollegeTeacherList&amp;wbtreeid=1001</t>
  </si>
  <si>
    <t>目录说明与使用建议</t>
  </si>
  <si>
    <t>项目</t>
  </si>
  <si>
    <t>内容</t>
  </si>
  <si>
    <t>师资页统计</t>
  </si>
  <si>
    <t>排名依据</t>
  </si>
  <si>
    <t>2026软科中国大学排名（主榜）</t>
  </si>
  <si>
    <t>独立师资页已找到</t>
  </si>
  <si>
    <t>排名原始链接</t>
  </si>
  <si>
    <t>核验日期</t>
  </si>
  <si>
    <t>2026-07-10</t>
  </si>
  <si>
    <t>需从官网导航进入/人工核验</t>
  </si>
  <si>
    <t>主目录学校数</t>
  </si>
  <si>
    <t>扩展院系条目数</t>
  </si>
  <si>
    <t>重要说明</t>
  </si>
  <si>
    <t>1. “计算机相关院系”按计算机、软件工程、人工智能、网络空间安全、数据科学等方向整理，并不代表学校的全部相关机构。</t>
  </si>
  <si>
    <t>2. 部分高校院系网站会改版、限制自动访问或采用多子域名；若教师链接失效，请先进入院系官网，再点击“师资队伍/教师名录/导师名册”栏目。</t>
  </si>
  <si>
    <t>3. 教师研究方向、招生资格和招生名额变化较快。GradMate 后续使用时应保存信息来源、抓取日期，并以当年学院招生通知和导师本人回复为准。</t>
  </si>
  <si>
    <t>4. 不建议把教师名录中的邮箱用于批量群发；邮件应个性化生成，并在发送前由用户确认。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</si>
</sst>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14"/>
      <color rgb="FF163A5F"/>
      <name val="Carlito"/>
      <charset val="134"/>
    </font>
    <font>
      <b/>
      <sz val="11"/>
      <color rgb="FF92400E"/>
      <name val="Carlito"/>
      <charset val="134"/>
    </font>
    <font>
      <sz val="11"/>
      <color rgb="FF78350F"/>
      <name val="Carlito"/>
      <charset val="134"/>
    </font>
    <font>
      <b/>
      <sz val="15"/>
      <color rgb="FFFFFFFF"/>
      <name val="Carlito"/>
      <charset val="134"/>
    </font>
    <font>
      <i/>
      <sz val="11"/>
      <color rgb="FF0B5F61"/>
      <name val="Carlito"/>
      <charset val="134"/>
    </font>
    <font>
      <sz val="10"/>
      <color rgb="FF1F2937"/>
      <name val="Carlito"/>
      <charset val="134"/>
    </font>
    <font>
      <i/>
      <sz val="11"/>
      <color rgb="FF163A5F"/>
      <name val="Carlito"/>
      <charset val="134"/>
    </font>
    <font>
      <b/>
      <sz val="10"/>
      <color rgb="FF166534"/>
      <name val="宋体"/>
      <charset val="134"/>
    </font>
    <font>
      <u/>
      <sz val="11"/>
      <color rgb="FF0000FF"/>
      <name val="Calibri"/>
      <charset val="0"/>
      <scheme val="minor"/>
    </font>
    <font>
      <b/>
      <sz val="10"/>
      <color rgb="FF92400E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63A5F"/>
        <bgColor indexed="64"/>
      </patternFill>
    </fill>
    <fill>
      <patternFill patternType="solid">
        <fgColor rgb="FF246BCE"/>
        <bgColor indexed="64"/>
      </patternFill>
    </fill>
    <fill>
      <patternFill patternType="solid">
        <fgColor rgb="FF0F8B8D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E8F6F4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EAF2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0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4" applyNumberFormat="0" applyAlignment="0" applyProtection="0">
      <alignment vertical="center"/>
    </xf>
    <xf numFmtId="0" fontId="22" fillId="12" borderId="5" applyNumberFormat="0" applyAlignment="0" applyProtection="0">
      <alignment vertical="center"/>
    </xf>
    <xf numFmtId="0" fontId="23" fillId="12" borderId="4" applyNumberFormat="0" applyAlignment="0" applyProtection="0">
      <alignment vertical="center"/>
    </xf>
    <xf numFmtId="0" fontId="24" fillId="13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3" borderId="0" xfId="49" applyNumberFormat="1" applyFont="1" applyFill="1" applyBorder="1" applyAlignment="1">
      <alignment horizontal="center"/>
    </xf>
    <xf numFmtId="0" fontId="2" fillId="4" borderId="0" xfId="49" applyNumberFormat="1" applyFont="1" applyFill="1" applyBorder="1" applyAlignment="1">
      <alignment horizontal="center" wrapText="1"/>
    </xf>
    <xf numFmtId="0" fontId="0" fillId="0" borderId="0" xfId="49" applyNumberFormat="1" applyFont="1" applyFill="1" applyBorder="1" applyAlignment="1">
      <alignment wrapText="1"/>
    </xf>
    <xf numFmtId="0" fontId="3" fillId="0" borderId="0" xfId="49" applyNumberFormat="1" applyFont="1" applyFill="1" applyBorder="1" applyAlignment="1">
      <alignment horizontal="center" wrapText="1"/>
    </xf>
    <xf numFmtId="0" fontId="4" fillId="5" borderId="0" xfId="49" applyNumberFormat="1" applyFont="1" applyFill="1" applyBorder="1" applyAlignment="1">
      <alignment horizontal="center"/>
    </xf>
    <xf numFmtId="0" fontId="5" fillId="6" borderId="0" xfId="49" applyNumberFormat="1" applyFont="1" applyFill="1" applyBorder="1" applyAlignment="1">
      <alignment vertical="top" wrapText="1"/>
    </xf>
    <xf numFmtId="0" fontId="6" fillId="4" borderId="0" xfId="49" applyNumberFormat="1" applyFont="1" applyFill="1" applyBorder="1" applyAlignment="1">
      <alignment horizontal="center" vertical="center"/>
    </xf>
    <xf numFmtId="0" fontId="7" fillId="7" borderId="0" xfId="49" applyNumberFormat="1" applyFont="1" applyFill="1" applyBorder="1" applyAlignment="1">
      <alignment horizontal="center"/>
    </xf>
    <xf numFmtId="0" fontId="2" fillId="4" borderId="0" xfId="49" applyNumberFormat="1" applyFont="1" applyFill="1" applyBorder="1" applyAlignment="1">
      <alignment horizontal="center" vertical="center" wrapText="1"/>
    </xf>
    <xf numFmtId="0" fontId="8" fillId="0" borderId="0" xfId="49" applyNumberFormat="1" applyFont="1" applyFill="1" applyBorder="1" applyAlignment="1">
      <alignment vertical="top" wrapText="1"/>
    </xf>
    <xf numFmtId="0" fontId="8" fillId="8" borderId="0" xfId="49" applyNumberFormat="1" applyFont="1" applyFill="1" applyBorder="1" applyAlignment="1">
      <alignment vertical="top" wrapText="1"/>
    </xf>
    <xf numFmtId="0" fontId="8" fillId="0" borderId="0" xfId="49" applyNumberFormat="1" applyFont="1" applyFill="1" applyAlignment="1">
      <alignment vertical="top" wrapText="1"/>
    </xf>
    <xf numFmtId="0" fontId="8" fillId="8" borderId="0" xfId="49" applyNumberFormat="1" applyFont="1" applyFill="1" applyAlignment="1">
      <alignment vertical="top" wrapText="1"/>
    </xf>
    <xf numFmtId="0" fontId="1" fillId="2" borderId="0" xfId="49" applyNumberFormat="1" applyFont="1" applyFill="1" applyBorder="1" applyAlignment="1">
      <alignment horizontal="center" vertical="center"/>
    </xf>
    <xf numFmtId="0" fontId="9" fillId="9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 wrapText="1"/>
    </xf>
    <xf numFmtId="0" fontId="10" fillId="8" borderId="0" xfId="49" applyNumberFormat="1" applyFont="1" applyFill="1" applyBorder="1" applyAlignment="1">
      <alignment vertical="top" wrapText="1"/>
    </xf>
    <xf numFmtId="0" fontId="11" fillId="8" borderId="0" xfId="6" applyNumberFormat="1" applyFill="1" applyBorder="1" applyAlignment="1">
      <alignment vertical="top" wrapText="1"/>
    </xf>
    <xf numFmtId="0" fontId="12" fillId="8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op30Directory" displayName="Top30Directory" ref="A4:H44">
  <tableColumns count="8">
    <tableColumn id="1" name="排名"/>
    <tableColumn id="2" name="学校"/>
    <tableColumn id="3" name="主要计算机相关院系"/>
    <tableColumn id="4" name="院系官网"/>
    <tableColumn id="5" name="教师名录/师资页"/>
    <tableColumn id="6" name="核验状态"/>
    <tableColumn id="7" name="备注"/>
    <tableColumn id="8" name="排名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traSchools" displayName="ExtraSchools" ref="A4:F25">
  <tableColumns count="6">
    <tableColumn id="1" name="软科排名"/>
    <tableColumn id="2" name="学校"/>
    <tableColumn id="3" name="相关院系"/>
    <tableColumn id="4" name="院系官网"/>
    <tableColumn id="5" name="教师名录/师资页"/>
    <tableColumn id="6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s.whu.edu.cn/szdw/zrjs.htm" TargetMode="Externa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workbookViewId="0">
      <selection activeCell="E10" sqref="E10"/>
    </sheetView>
  </sheetViews>
  <sheetFormatPr defaultColWidth="9" defaultRowHeight="14.5" outlineLevelCol="7"/>
  <cols>
    <col min="1" max="1" width="8" customWidth="1"/>
    <col min="2" max="2" width="16" customWidth="1"/>
    <col min="3" max="3" width="24" customWidth="1"/>
    <col min="4" max="4" width="38" customWidth="1"/>
    <col min="5" max="5" width="48" customWidth="1"/>
    <col min="6" max="6" width="24" customWidth="1"/>
    <col min="7" max="7" width="32" customWidth="1"/>
    <col min="8" max="8" width="38" customWidth="1"/>
  </cols>
  <sheetData>
    <row r="1" ht="34" customHeight="1" spans="1:8">
      <c r="A1" s="15" t="s">
        <v>0</v>
      </c>
      <c r="B1" s="15"/>
      <c r="C1" s="15"/>
      <c r="D1" s="15"/>
      <c r="E1" s="15"/>
      <c r="F1" s="15"/>
      <c r="G1" s="15"/>
      <c r="H1" s="15"/>
    </row>
    <row r="2" ht="26" customHeight="1" spans="1:8">
      <c r="A2" s="16" t="s">
        <v>1</v>
      </c>
      <c r="B2" s="16"/>
      <c r="C2" s="16"/>
      <c r="D2" s="16"/>
      <c r="E2" s="16"/>
      <c r="F2" s="16"/>
      <c r="G2" s="16"/>
      <c r="H2" s="16"/>
    </row>
    <row r="4" ht="30" customHeight="1" spans="1:8">
      <c r="A4" s="17" t="s">
        <v>2</v>
      </c>
      <c r="B4" s="17" t="s">
        <v>3</v>
      </c>
      <c r="C4" s="17" t="s">
        <v>4</v>
      </c>
      <c r="D4" s="17" t="s">
        <v>5</v>
      </c>
      <c r="E4" s="17" t="s">
        <v>6</v>
      </c>
      <c r="F4" s="17" t="s">
        <v>7</v>
      </c>
      <c r="G4" s="17" t="s">
        <v>8</v>
      </c>
      <c r="H4" s="17" t="s">
        <v>9</v>
      </c>
    </row>
    <row r="5" ht="26" spans="1:8">
      <c r="A5" s="11">
        <v>1</v>
      </c>
      <c r="B5" s="11" t="s">
        <v>10</v>
      </c>
      <c r="C5" s="11" t="s">
        <v>11</v>
      </c>
      <c r="D5" s="11" t="s">
        <v>12</v>
      </c>
      <c r="E5" s="11" t="s">
        <v>13</v>
      </c>
      <c r="F5" s="11" t="s">
        <v>14</v>
      </c>
      <c r="G5" s="11" t="s">
        <v>15</v>
      </c>
      <c r="H5" s="11" t="s">
        <v>16</v>
      </c>
    </row>
    <row r="6" ht="26" spans="1:8">
      <c r="A6" s="12">
        <v>2</v>
      </c>
      <c r="B6" s="12" t="s">
        <v>17</v>
      </c>
      <c r="C6" s="12" t="s">
        <v>18</v>
      </c>
      <c r="D6" s="12" t="s">
        <v>19</v>
      </c>
      <c r="E6" s="12" t="s">
        <v>20</v>
      </c>
      <c r="F6" s="12" t="s">
        <v>14</v>
      </c>
      <c r="G6" s="12" t="s">
        <v>21</v>
      </c>
      <c r="H6" s="12" t="s">
        <v>16</v>
      </c>
    </row>
    <row r="7" ht="26" spans="1:8">
      <c r="A7" s="11">
        <v>3</v>
      </c>
      <c r="B7" s="11" t="s">
        <v>22</v>
      </c>
      <c r="C7" s="11" t="s">
        <v>23</v>
      </c>
      <c r="D7" s="11" t="s">
        <v>24</v>
      </c>
      <c r="E7" s="11" t="s">
        <v>25</v>
      </c>
      <c r="F7" s="11" t="s">
        <v>14</v>
      </c>
      <c r="G7" s="11" t="s">
        <v>26</v>
      </c>
      <c r="H7" s="11" t="s">
        <v>16</v>
      </c>
    </row>
    <row r="8" ht="26" spans="1:8">
      <c r="A8" s="12">
        <v>4</v>
      </c>
      <c r="B8" s="12" t="s">
        <v>27</v>
      </c>
      <c r="C8" s="12" t="s">
        <v>18</v>
      </c>
      <c r="D8" s="12" t="s">
        <v>28</v>
      </c>
      <c r="E8" s="12" t="s">
        <v>29</v>
      </c>
      <c r="F8" s="12" t="s">
        <v>14</v>
      </c>
      <c r="G8" s="12" t="s">
        <v>15</v>
      </c>
      <c r="H8" s="12" t="s">
        <v>16</v>
      </c>
    </row>
    <row r="9" ht="26" spans="1:8">
      <c r="A9" s="11">
        <v>5</v>
      </c>
      <c r="B9" s="11" t="s">
        <v>30</v>
      </c>
      <c r="C9" s="11" t="s">
        <v>31</v>
      </c>
      <c r="D9" s="11" t="s">
        <v>32</v>
      </c>
      <c r="E9" s="11" t="s">
        <v>33</v>
      </c>
      <c r="F9" s="11" t="s">
        <v>14</v>
      </c>
      <c r="G9" s="11" t="s">
        <v>34</v>
      </c>
      <c r="H9" s="11" t="s">
        <v>16</v>
      </c>
    </row>
    <row r="10" ht="26" spans="1:8">
      <c r="A10" s="12">
        <v>6</v>
      </c>
      <c r="B10" s="12" t="s">
        <v>35</v>
      </c>
      <c r="C10" s="12" t="s">
        <v>18</v>
      </c>
      <c r="D10" s="12" t="s">
        <v>36</v>
      </c>
      <c r="E10" s="12" t="s">
        <v>37</v>
      </c>
      <c r="F10" s="18" t="s">
        <v>14</v>
      </c>
      <c r="G10" s="12" t="s">
        <v>15</v>
      </c>
      <c r="H10" s="12" t="s">
        <v>16</v>
      </c>
    </row>
    <row r="11" ht="26" spans="1:8">
      <c r="A11" s="11">
        <v>7</v>
      </c>
      <c r="B11" s="11" t="s">
        <v>38</v>
      </c>
      <c r="C11" s="11" t="s">
        <v>23</v>
      </c>
      <c r="D11" s="11" t="s">
        <v>39</v>
      </c>
      <c r="E11" s="11" t="s">
        <v>40</v>
      </c>
      <c r="F11" s="11" t="s">
        <v>41</v>
      </c>
      <c r="G11" s="11" t="s">
        <v>42</v>
      </c>
      <c r="H11" s="11" t="s">
        <v>16</v>
      </c>
    </row>
    <row r="12" ht="26" spans="1:8">
      <c r="A12" s="12">
        <v>8</v>
      </c>
      <c r="B12" s="12" t="s">
        <v>43</v>
      </c>
      <c r="C12" s="12" t="s">
        <v>18</v>
      </c>
      <c r="D12" s="12" t="s">
        <v>44</v>
      </c>
      <c r="E12" s="19" t="s">
        <v>45</v>
      </c>
      <c r="F12" s="20" t="s">
        <v>14</v>
      </c>
      <c r="G12" s="12" t="s">
        <v>46</v>
      </c>
      <c r="H12" s="12" t="s">
        <v>16</v>
      </c>
    </row>
    <row r="13" ht="26" spans="1:8">
      <c r="A13" s="11">
        <v>9</v>
      </c>
      <c r="B13" s="11" t="s">
        <v>47</v>
      </c>
      <c r="C13" s="11" t="s">
        <v>23</v>
      </c>
      <c r="D13" s="11" t="s">
        <v>48</v>
      </c>
      <c r="E13" s="11" t="s">
        <v>49</v>
      </c>
      <c r="F13" s="11" t="s">
        <v>14</v>
      </c>
      <c r="G13" s="11" t="s">
        <v>50</v>
      </c>
      <c r="H13" s="11" t="s">
        <v>16</v>
      </c>
    </row>
    <row r="14" ht="26" spans="1:8">
      <c r="A14" s="12">
        <v>10</v>
      </c>
      <c r="B14" s="12" t="s">
        <v>51</v>
      </c>
      <c r="C14" s="12" t="s">
        <v>23</v>
      </c>
      <c r="D14" s="12" t="s">
        <v>52</v>
      </c>
      <c r="E14" s="12" t="s">
        <v>40</v>
      </c>
      <c r="F14" s="12" t="s">
        <v>53</v>
      </c>
      <c r="G14" s="12" t="s">
        <v>54</v>
      </c>
      <c r="H14" s="12" t="s">
        <v>16</v>
      </c>
    </row>
    <row r="15" ht="26" spans="1:8">
      <c r="A15" s="11">
        <v>11</v>
      </c>
      <c r="B15" s="11" t="s">
        <v>55</v>
      </c>
      <c r="C15" s="11" t="s">
        <v>18</v>
      </c>
      <c r="D15" s="11" t="s">
        <v>56</v>
      </c>
      <c r="E15" s="11" t="s">
        <v>57</v>
      </c>
      <c r="F15" s="11" t="s">
        <v>14</v>
      </c>
      <c r="G15" s="11" t="s">
        <v>58</v>
      </c>
      <c r="H15" s="11" t="s">
        <v>16</v>
      </c>
    </row>
    <row r="16" ht="26" spans="1:8">
      <c r="A16" s="12">
        <v>12</v>
      </c>
      <c r="B16" s="12" t="s">
        <v>59</v>
      </c>
      <c r="C16" s="12" t="s">
        <v>60</v>
      </c>
      <c r="D16" s="12" t="s">
        <v>61</v>
      </c>
      <c r="E16" s="12" t="s">
        <v>62</v>
      </c>
      <c r="F16" s="12" t="s">
        <v>14</v>
      </c>
      <c r="G16" s="12" t="s">
        <v>63</v>
      </c>
      <c r="H16" s="12" t="s">
        <v>16</v>
      </c>
    </row>
    <row r="17" ht="26" spans="1:8">
      <c r="A17" s="11">
        <v>13</v>
      </c>
      <c r="B17" s="11" t="s">
        <v>64</v>
      </c>
      <c r="C17" s="11" t="s">
        <v>18</v>
      </c>
      <c r="D17" s="11" t="s">
        <v>65</v>
      </c>
      <c r="E17" s="11" t="s">
        <v>66</v>
      </c>
      <c r="F17" s="11" t="s">
        <v>14</v>
      </c>
      <c r="G17" s="11" t="s">
        <v>67</v>
      </c>
      <c r="H17" s="11" t="s">
        <v>16</v>
      </c>
    </row>
    <row r="18" ht="26" spans="1:8">
      <c r="A18" s="12">
        <v>14</v>
      </c>
      <c r="B18" s="12" t="s">
        <v>68</v>
      </c>
      <c r="C18" s="12" t="s">
        <v>18</v>
      </c>
      <c r="D18" s="12" t="s">
        <v>69</v>
      </c>
      <c r="E18" s="12" t="s">
        <v>70</v>
      </c>
      <c r="F18" s="12" t="s">
        <v>14</v>
      </c>
      <c r="G18" s="12" t="s">
        <v>71</v>
      </c>
      <c r="H18" s="12" t="s">
        <v>16</v>
      </c>
    </row>
    <row r="19" ht="26" spans="1:8">
      <c r="A19" s="11">
        <v>15</v>
      </c>
      <c r="B19" s="11" t="s">
        <v>72</v>
      </c>
      <c r="C19" s="11" t="s">
        <v>73</v>
      </c>
      <c r="D19" s="11" t="s">
        <v>74</v>
      </c>
      <c r="E19" s="11" t="s">
        <v>75</v>
      </c>
      <c r="F19" s="11" t="s">
        <v>76</v>
      </c>
      <c r="G19" s="11" t="s">
        <v>77</v>
      </c>
      <c r="H19" s="11" t="s">
        <v>16</v>
      </c>
    </row>
    <row r="20" ht="26" spans="1:8">
      <c r="A20" s="12">
        <v>16</v>
      </c>
      <c r="B20" s="12" t="s">
        <v>78</v>
      </c>
      <c r="C20" s="12" t="s">
        <v>18</v>
      </c>
      <c r="D20" s="12" t="s">
        <v>79</v>
      </c>
      <c r="E20" s="12" t="s">
        <v>80</v>
      </c>
      <c r="F20" s="12" t="s">
        <v>14</v>
      </c>
      <c r="G20" s="12" t="s">
        <v>15</v>
      </c>
      <c r="H20" s="12" t="s">
        <v>16</v>
      </c>
    </row>
    <row r="21" ht="26" spans="1:8">
      <c r="A21" s="11">
        <v>17</v>
      </c>
      <c r="B21" s="11" t="s">
        <v>81</v>
      </c>
      <c r="C21" s="11" t="s">
        <v>82</v>
      </c>
      <c r="D21" s="11" t="s">
        <v>83</v>
      </c>
      <c r="E21" s="11" t="s">
        <v>84</v>
      </c>
      <c r="F21" s="11" t="s">
        <v>85</v>
      </c>
      <c r="G21" s="11" t="s">
        <v>86</v>
      </c>
      <c r="H21" s="11" t="s">
        <v>16</v>
      </c>
    </row>
    <row r="22" ht="26" spans="1:8">
      <c r="A22" s="12">
        <v>18</v>
      </c>
      <c r="B22" s="12" t="s">
        <v>87</v>
      </c>
      <c r="C22" s="12" t="s">
        <v>23</v>
      </c>
      <c r="D22" s="12" t="s">
        <v>88</v>
      </c>
      <c r="E22" s="12" t="s">
        <v>89</v>
      </c>
      <c r="F22" s="12" t="s">
        <v>14</v>
      </c>
      <c r="G22" s="12" t="s">
        <v>90</v>
      </c>
      <c r="H22" s="12" t="s">
        <v>16</v>
      </c>
    </row>
    <row r="23" ht="26" spans="1:8">
      <c r="A23" s="11">
        <v>19</v>
      </c>
      <c r="B23" s="11" t="s">
        <v>91</v>
      </c>
      <c r="C23" s="11" t="s">
        <v>92</v>
      </c>
      <c r="D23" s="11" t="s">
        <v>93</v>
      </c>
      <c r="E23" s="11" t="s">
        <v>94</v>
      </c>
      <c r="F23" s="11" t="s">
        <v>14</v>
      </c>
      <c r="G23" s="11" t="s">
        <v>95</v>
      </c>
      <c r="H23" s="11" t="s">
        <v>16</v>
      </c>
    </row>
    <row r="24" ht="26" spans="1:8">
      <c r="A24" s="12">
        <v>20</v>
      </c>
      <c r="B24" s="12" t="s">
        <v>96</v>
      </c>
      <c r="C24" s="12" t="s">
        <v>97</v>
      </c>
      <c r="D24" s="12" t="s">
        <v>98</v>
      </c>
      <c r="E24" s="12" t="s">
        <v>99</v>
      </c>
      <c r="F24" s="12" t="s">
        <v>14</v>
      </c>
      <c r="G24" s="12" t="s">
        <v>100</v>
      </c>
      <c r="H24" s="12" t="s">
        <v>16</v>
      </c>
    </row>
    <row r="25" ht="26" spans="1:8">
      <c r="A25" s="11">
        <v>21</v>
      </c>
      <c r="B25" s="11" t="s">
        <v>101</v>
      </c>
      <c r="C25" s="11" t="s">
        <v>18</v>
      </c>
      <c r="D25" s="11" t="s">
        <v>102</v>
      </c>
      <c r="E25" s="11" t="s">
        <v>103</v>
      </c>
      <c r="F25" s="11" t="s">
        <v>14</v>
      </c>
      <c r="G25" s="11" t="s">
        <v>104</v>
      </c>
      <c r="H25" s="11" t="s">
        <v>16</v>
      </c>
    </row>
    <row r="26" ht="26" spans="1:8">
      <c r="A26" s="12">
        <v>22</v>
      </c>
      <c r="B26" s="12" t="s">
        <v>105</v>
      </c>
      <c r="C26" s="12" t="s">
        <v>23</v>
      </c>
      <c r="D26" s="12" t="s">
        <v>106</v>
      </c>
      <c r="E26" s="12" t="s">
        <v>107</v>
      </c>
      <c r="F26" s="12" t="s">
        <v>14</v>
      </c>
      <c r="G26" s="12" t="s">
        <v>108</v>
      </c>
      <c r="H26" s="12" t="s">
        <v>16</v>
      </c>
    </row>
    <row r="27" ht="26" spans="1:8">
      <c r="A27" s="11">
        <v>23</v>
      </c>
      <c r="B27" s="11" t="s">
        <v>109</v>
      </c>
      <c r="C27" s="11" t="s">
        <v>18</v>
      </c>
      <c r="D27" s="11" t="s">
        <v>110</v>
      </c>
      <c r="E27" s="11" t="s">
        <v>111</v>
      </c>
      <c r="F27" s="11" t="s">
        <v>14</v>
      </c>
      <c r="G27" s="11" t="s">
        <v>112</v>
      </c>
      <c r="H27" s="11" t="s">
        <v>16</v>
      </c>
    </row>
    <row r="28" ht="26" spans="1:8">
      <c r="A28" s="12">
        <v>24</v>
      </c>
      <c r="B28" s="12" t="s">
        <v>113</v>
      </c>
      <c r="C28" s="12" t="s">
        <v>114</v>
      </c>
      <c r="D28" s="12" t="s">
        <v>115</v>
      </c>
      <c r="E28" s="12" t="s">
        <v>116</v>
      </c>
      <c r="F28" s="12" t="s">
        <v>117</v>
      </c>
      <c r="G28" s="12" t="s">
        <v>118</v>
      </c>
      <c r="H28" s="12" t="s">
        <v>16</v>
      </c>
    </row>
    <row r="29" ht="52" spans="1:8">
      <c r="A29" s="11">
        <v>25</v>
      </c>
      <c r="B29" s="11" t="s">
        <v>119</v>
      </c>
      <c r="C29" s="11" t="s">
        <v>82</v>
      </c>
      <c r="D29" s="11" t="s">
        <v>120</v>
      </c>
      <c r="E29" s="11" t="s">
        <v>121</v>
      </c>
      <c r="F29" s="11" t="s">
        <v>14</v>
      </c>
      <c r="G29" s="11" t="s">
        <v>122</v>
      </c>
      <c r="H29" s="11" t="s">
        <v>16</v>
      </c>
    </row>
    <row r="30" ht="26" spans="1:8">
      <c r="A30" s="12">
        <v>26</v>
      </c>
      <c r="B30" s="12" t="s">
        <v>123</v>
      </c>
      <c r="C30" s="12" t="s">
        <v>23</v>
      </c>
      <c r="D30" s="12" t="s">
        <v>124</v>
      </c>
      <c r="E30" s="12" t="s">
        <v>125</v>
      </c>
      <c r="F30" s="12" t="s">
        <v>14</v>
      </c>
      <c r="G30" s="12" t="s">
        <v>126</v>
      </c>
      <c r="H30" s="12" t="s">
        <v>16</v>
      </c>
    </row>
    <row r="31" ht="26" spans="1:8">
      <c r="A31" s="11">
        <v>27</v>
      </c>
      <c r="B31" s="11" t="s">
        <v>127</v>
      </c>
      <c r="C31" s="11" t="s">
        <v>18</v>
      </c>
      <c r="D31" s="11" t="s">
        <v>128</v>
      </c>
      <c r="E31" s="11" t="s">
        <v>129</v>
      </c>
      <c r="F31" s="11" t="s">
        <v>14</v>
      </c>
      <c r="G31" s="11" t="s">
        <v>130</v>
      </c>
      <c r="H31" s="11" t="s">
        <v>16</v>
      </c>
    </row>
    <row r="32" ht="26" spans="1:8">
      <c r="A32" s="12">
        <v>28</v>
      </c>
      <c r="B32" s="12" t="s">
        <v>131</v>
      </c>
      <c r="C32" s="12" t="s">
        <v>23</v>
      </c>
      <c r="D32" s="12" t="s">
        <v>132</v>
      </c>
      <c r="E32" s="12" t="s">
        <v>133</v>
      </c>
      <c r="F32" s="12" t="s">
        <v>14</v>
      </c>
      <c r="G32" s="12" t="s">
        <v>134</v>
      </c>
      <c r="H32" s="12" t="s">
        <v>16</v>
      </c>
    </row>
    <row r="33" ht="26" spans="1:8">
      <c r="A33" s="11">
        <v>29</v>
      </c>
      <c r="B33" s="11" t="s">
        <v>135</v>
      </c>
      <c r="C33" s="11" t="s">
        <v>23</v>
      </c>
      <c r="D33" s="11" t="s">
        <v>136</v>
      </c>
      <c r="E33" s="11" t="s">
        <v>137</v>
      </c>
      <c r="F33" s="11" t="s">
        <v>14</v>
      </c>
      <c r="G33" s="11" t="s">
        <v>71</v>
      </c>
      <c r="H33" s="11" t="s">
        <v>16</v>
      </c>
    </row>
    <row r="34" ht="26" spans="1:8">
      <c r="A34" s="12">
        <v>30</v>
      </c>
      <c r="B34" s="12" t="s">
        <v>138</v>
      </c>
      <c r="C34" s="12" t="s">
        <v>139</v>
      </c>
      <c r="D34" s="12" t="s">
        <v>140</v>
      </c>
      <c r="E34" s="12" t="s">
        <v>141</v>
      </c>
      <c r="F34" s="12" t="s">
        <v>14</v>
      </c>
      <c r="G34" s="12" t="s">
        <v>142</v>
      </c>
      <c r="H34" s="12" t="s">
        <v>16</v>
      </c>
    </row>
    <row r="35" ht="26" spans="1:8">
      <c r="A35" s="13">
        <v>31</v>
      </c>
      <c r="B35" s="13" t="s">
        <v>143</v>
      </c>
      <c r="C35" s="13" t="s">
        <v>144</v>
      </c>
      <c r="D35" s="13" t="s">
        <v>145</v>
      </c>
      <c r="E35" s="13" t="s">
        <v>146</v>
      </c>
      <c r="F35" s="13" t="s">
        <v>147</v>
      </c>
      <c r="G35" s="13" t="s">
        <v>148</v>
      </c>
      <c r="H35" s="13" t="s">
        <v>16</v>
      </c>
    </row>
    <row r="36" ht="26" spans="1:8">
      <c r="A36" s="14">
        <v>32</v>
      </c>
      <c r="B36" s="14" t="s">
        <v>149</v>
      </c>
      <c r="C36" s="14" t="s">
        <v>73</v>
      </c>
      <c r="D36" s="14" t="s">
        <v>150</v>
      </c>
      <c r="E36" s="14" t="s">
        <v>151</v>
      </c>
      <c r="F36" s="14" t="s">
        <v>14</v>
      </c>
      <c r="G36" s="14" t="s">
        <v>152</v>
      </c>
      <c r="H36" s="14" t="s">
        <v>16</v>
      </c>
    </row>
    <row r="37" ht="26" spans="1:8">
      <c r="A37" s="13">
        <v>33</v>
      </c>
      <c r="B37" s="13" t="s">
        <v>153</v>
      </c>
      <c r="C37" s="13" t="s">
        <v>154</v>
      </c>
      <c r="D37" s="13" t="s">
        <v>155</v>
      </c>
      <c r="E37" s="13" t="s">
        <v>156</v>
      </c>
      <c r="F37" s="13" t="s">
        <v>14</v>
      </c>
      <c r="G37" s="13" t="s">
        <v>157</v>
      </c>
      <c r="H37" s="13" t="s">
        <v>16</v>
      </c>
    </row>
    <row r="38" ht="26" spans="1:8">
      <c r="A38" s="14">
        <v>34</v>
      </c>
      <c r="B38" s="14" t="s">
        <v>158</v>
      </c>
      <c r="C38" s="14" t="s">
        <v>18</v>
      </c>
      <c r="D38" s="14" t="s">
        <v>159</v>
      </c>
      <c r="E38" s="14" t="s">
        <v>160</v>
      </c>
      <c r="F38" s="14" t="s">
        <v>161</v>
      </c>
      <c r="G38" s="14" t="s">
        <v>162</v>
      </c>
      <c r="H38" s="14" t="s">
        <v>16</v>
      </c>
    </row>
    <row r="39" ht="26" spans="1:8">
      <c r="A39" s="13">
        <v>35</v>
      </c>
      <c r="B39" s="13" t="s">
        <v>163</v>
      </c>
      <c r="C39" s="13" t="s">
        <v>164</v>
      </c>
      <c r="D39" s="13" t="s">
        <v>165</v>
      </c>
      <c r="E39" s="13" t="s">
        <v>166</v>
      </c>
      <c r="F39" s="13" t="s">
        <v>14</v>
      </c>
      <c r="G39" s="13" t="s">
        <v>167</v>
      </c>
      <c r="H39" s="13" t="s">
        <v>16</v>
      </c>
    </row>
    <row r="40" ht="26" spans="1:8">
      <c r="A40" s="14">
        <v>36</v>
      </c>
      <c r="B40" s="14" t="s">
        <v>168</v>
      </c>
      <c r="C40" s="14" t="s">
        <v>73</v>
      </c>
      <c r="D40" s="14" t="s">
        <v>169</v>
      </c>
      <c r="E40" s="14" t="s">
        <v>170</v>
      </c>
      <c r="F40" s="14" t="s">
        <v>171</v>
      </c>
      <c r="G40" s="14" t="s">
        <v>172</v>
      </c>
      <c r="H40" s="14" t="s">
        <v>16</v>
      </c>
    </row>
    <row r="41" ht="26" spans="1:8">
      <c r="A41" s="13">
        <v>37</v>
      </c>
      <c r="B41" s="13" t="s">
        <v>173</v>
      </c>
      <c r="C41" s="13" t="s">
        <v>174</v>
      </c>
      <c r="D41" s="13" t="s">
        <v>175</v>
      </c>
      <c r="E41" s="13" t="s">
        <v>176</v>
      </c>
      <c r="F41" s="13" t="s">
        <v>14</v>
      </c>
      <c r="G41" s="13" t="s">
        <v>177</v>
      </c>
      <c r="H41" s="13" t="s">
        <v>16</v>
      </c>
    </row>
    <row r="42" ht="26" spans="1:8">
      <c r="A42" s="14">
        <v>38</v>
      </c>
      <c r="B42" s="14" t="s">
        <v>178</v>
      </c>
      <c r="C42" s="14" t="s">
        <v>73</v>
      </c>
      <c r="D42" s="14" t="s">
        <v>179</v>
      </c>
      <c r="E42" s="14" t="s">
        <v>180</v>
      </c>
      <c r="F42" s="14" t="s">
        <v>14</v>
      </c>
      <c r="G42" s="14" t="s">
        <v>181</v>
      </c>
      <c r="H42" s="14" t="s">
        <v>16</v>
      </c>
    </row>
    <row r="43" ht="26" spans="1:8">
      <c r="A43" s="13">
        <v>39</v>
      </c>
      <c r="B43" s="13" t="s">
        <v>182</v>
      </c>
      <c r="C43" s="13" t="s">
        <v>183</v>
      </c>
      <c r="D43" s="13" t="s">
        <v>184</v>
      </c>
      <c r="E43" s="13" t="s">
        <v>185</v>
      </c>
      <c r="F43" s="13" t="s">
        <v>186</v>
      </c>
      <c r="G43" s="13" t="s">
        <v>187</v>
      </c>
      <c r="H43" s="13" t="s">
        <v>16</v>
      </c>
    </row>
    <row r="44" ht="26" spans="1:8">
      <c r="A44" s="14">
        <v>40</v>
      </c>
      <c r="B44" s="14" t="s">
        <v>188</v>
      </c>
      <c r="C44" s="14" t="s">
        <v>144</v>
      </c>
      <c r="D44" s="14" t="s">
        <v>189</v>
      </c>
      <c r="E44" s="14" t="s">
        <v>190</v>
      </c>
      <c r="F44" s="14" t="s">
        <v>171</v>
      </c>
      <c r="G44" s="14" t="s">
        <v>191</v>
      </c>
      <c r="H44" s="14" t="s">
        <v>16</v>
      </c>
    </row>
  </sheetData>
  <mergeCells count="2">
    <mergeCell ref="A1:H1"/>
    <mergeCell ref="A2:H2"/>
  </mergeCells>
  <conditionalFormatting sqref="F5:F34">
    <cfRule type="expression" dxfId="0" priority="1">
      <formula>ISNUMBER(SEARCH("已找到",F5))</formula>
    </cfRule>
    <cfRule type="expression" dxfId="1" priority="2">
      <formula>OR(ISNUMBER(SEARCH("未找到",F5)),ISNUMBER(SEARCH("403",F5)),ISNUMBER(SEARCH("未稳定",F5)))</formula>
    </cfRule>
  </conditionalFormatting>
  <conditionalFormatting sqref="F35:F44">
    <cfRule type="expression" dxfId="2" priority="3">
      <formula>ISNUMBER(SEARCH("已找到",F35))</formula>
    </cfRule>
    <cfRule type="expression" dxfId="3" priority="4">
      <formula>OR(ISNUMBER(SEARCH("未找到",F35)),ISNUMBER(SEARCH("403",F35)),ISNUMBER(SEARCH("未稳定",F35)))</formula>
    </cfRule>
  </conditionalFormatting>
  <hyperlinks>
    <hyperlink ref="E12" r:id="rId2" display="https://cs.whu.edu.cn/szdw/zrjs.htm"/>
  </hyperlink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selection activeCell="A1" sqref="A1:F1"/>
    </sheetView>
  </sheetViews>
  <sheetFormatPr defaultColWidth="9" defaultRowHeight="14.5" outlineLevelCol="5"/>
  <cols>
    <col min="1" max="1" width="10" customWidth="1"/>
    <col min="2" max="2" width="16" customWidth="1"/>
    <col min="3" max="3" width="24" customWidth="1"/>
    <col min="4" max="4" width="40" customWidth="1"/>
    <col min="5" max="5" width="48" customWidth="1"/>
    <col min="6" max="6" width="36" customWidth="1"/>
  </cols>
  <sheetData>
    <row r="1" ht="34" customHeight="1" spans="1:6">
      <c r="A1" s="8" t="s">
        <v>192</v>
      </c>
      <c r="B1" s="8"/>
      <c r="C1" s="8"/>
      <c r="D1" s="8"/>
      <c r="E1" s="8"/>
      <c r="F1" s="8"/>
    </row>
    <row r="2" spans="1:6">
      <c r="A2" s="9" t="s">
        <v>193</v>
      </c>
      <c r="B2" s="9"/>
      <c r="C2" s="9"/>
      <c r="D2" s="9"/>
      <c r="E2" s="9"/>
      <c r="F2" s="9"/>
    </row>
    <row r="4" spans="1:6">
      <c r="A4" s="10" t="s">
        <v>194</v>
      </c>
      <c r="B4" s="10" t="s">
        <v>3</v>
      </c>
      <c r="C4" s="10" t="s">
        <v>195</v>
      </c>
      <c r="D4" s="10" t="s">
        <v>5</v>
      </c>
      <c r="E4" s="10" t="s">
        <v>6</v>
      </c>
      <c r="F4" s="10" t="s">
        <v>8</v>
      </c>
    </row>
    <row r="5" spans="1:6">
      <c r="A5" s="11">
        <v>1</v>
      </c>
      <c r="B5" s="11" t="s">
        <v>10</v>
      </c>
      <c r="C5" s="11" t="s">
        <v>196</v>
      </c>
      <c r="D5" s="11" t="s">
        <v>197</v>
      </c>
      <c r="E5" s="11" t="s">
        <v>198</v>
      </c>
      <c r="F5" s="11" t="s">
        <v>199</v>
      </c>
    </row>
    <row r="6" ht="26" spans="1:6">
      <c r="A6" s="12">
        <v>2</v>
      </c>
      <c r="B6" s="12" t="s">
        <v>17</v>
      </c>
      <c r="C6" s="12" t="s">
        <v>200</v>
      </c>
      <c r="D6" s="12" t="s">
        <v>201</v>
      </c>
      <c r="E6" s="12" t="s">
        <v>40</v>
      </c>
      <c r="F6" s="12" t="s">
        <v>202</v>
      </c>
    </row>
    <row r="7" spans="1:6">
      <c r="A7" s="11">
        <v>3</v>
      </c>
      <c r="B7" s="11" t="s">
        <v>22</v>
      </c>
      <c r="C7" s="11" t="s">
        <v>203</v>
      </c>
      <c r="D7" s="11" t="s">
        <v>204</v>
      </c>
      <c r="E7" s="11" t="s">
        <v>205</v>
      </c>
      <c r="F7" s="11" t="s">
        <v>206</v>
      </c>
    </row>
    <row r="8" ht="26" spans="1:6">
      <c r="A8" s="12">
        <v>5</v>
      </c>
      <c r="B8" s="12" t="s">
        <v>30</v>
      </c>
      <c r="C8" s="12" t="s">
        <v>207</v>
      </c>
      <c r="D8" s="12" t="s">
        <v>208</v>
      </c>
      <c r="E8" s="12" t="s">
        <v>40</v>
      </c>
      <c r="F8" s="12" t="s">
        <v>209</v>
      </c>
    </row>
    <row r="9" spans="1:6">
      <c r="A9" s="11">
        <v>6</v>
      </c>
      <c r="B9" s="11" t="s">
        <v>35</v>
      </c>
      <c r="C9" s="11" t="s">
        <v>92</v>
      </c>
      <c r="D9" s="11" t="s">
        <v>210</v>
      </c>
      <c r="E9" s="11" t="s">
        <v>211</v>
      </c>
      <c r="F9" s="11" t="s">
        <v>212</v>
      </c>
    </row>
    <row r="10" ht="26" spans="1:6">
      <c r="A10" s="12">
        <v>10</v>
      </c>
      <c r="B10" s="12" t="s">
        <v>51</v>
      </c>
      <c r="C10" s="12" t="s">
        <v>203</v>
      </c>
      <c r="D10" s="12" t="s">
        <v>213</v>
      </c>
      <c r="E10" s="12" t="s">
        <v>214</v>
      </c>
      <c r="F10" s="12" t="s">
        <v>215</v>
      </c>
    </row>
    <row r="11" spans="1:6">
      <c r="A11" s="11">
        <v>12</v>
      </c>
      <c r="B11" s="11" t="s">
        <v>59</v>
      </c>
      <c r="C11" s="11" t="s">
        <v>196</v>
      </c>
      <c r="D11" s="11" t="s">
        <v>216</v>
      </c>
      <c r="E11" s="11" t="s">
        <v>40</v>
      </c>
      <c r="F11" s="11" t="s">
        <v>217</v>
      </c>
    </row>
    <row r="12" spans="1:6">
      <c r="A12" s="12">
        <v>13</v>
      </c>
      <c r="B12" s="12" t="s">
        <v>64</v>
      </c>
      <c r="C12" s="12" t="s">
        <v>218</v>
      </c>
      <c r="D12" s="12" t="s">
        <v>219</v>
      </c>
      <c r="E12" s="12" t="s">
        <v>220</v>
      </c>
      <c r="F12" s="12" t="s">
        <v>221</v>
      </c>
    </row>
    <row r="13" ht="26" spans="1:6">
      <c r="A13" s="11">
        <v>17</v>
      </c>
      <c r="B13" s="11" t="s">
        <v>81</v>
      </c>
      <c r="C13" s="11" t="s">
        <v>222</v>
      </c>
      <c r="D13" s="11" t="s">
        <v>223</v>
      </c>
      <c r="E13" s="11" t="s">
        <v>40</v>
      </c>
      <c r="F13" s="11" t="s">
        <v>224</v>
      </c>
    </row>
    <row r="14" spans="1:6">
      <c r="A14" s="12">
        <v>18</v>
      </c>
      <c r="B14" s="12" t="s">
        <v>87</v>
      </c>
      <c r="C14" s="12" t="s">
        <v>196</v>
      </c>
      <c r="D14" s="12" t="s">
        <v>225</v>
      </c>
      <c r="E14" s="12" t="s">
        <v>226</v>
      </c>
      <c r="F14" s="12" t="s">
        <v>227</v>
      </c>
    </row>
    <row r="15" spans="1:6">
      <c r="A15" s="11">
        <v>21</v>
      </c>
      <c r="B15" s="11" t="s">
        <v>101</v>
      </c>
      <c r="C15" s="11" t="s">
        <v>203</v>
      </c>
      <c r="D15" s="11" t="s">
        <v>228</v>
      </c>
      <c r="E15" s="11" t="s">
        <v>40</v>
      </c>
      <c r="F15" s="11" t="s">
        <v>229</v>
      </c>
    </row>
    <row r="16" spans="1:6">
      <c r="A16" s="12">
        <v>22</v>
      </c>
      <c r="B16" s="12" t="s">
        <v>105</v>
      </c>
      <c r="C16" s="12" t="s">
        <v>92</v>
      </c>
      <c r="D16" s="12" t="s">
        <v>230</v>
      </c>
      <c r="E16" s="12" t="s">
        <v>40</v>
      </c>
      <c r="F16" s="12" t="s">
        <v>231</v>
      </c>
    </row>
    <row r="17" spans="1:6">
      <c r="A17" s="11">
        <v>26</v>
      </c>
      <c r="B17" s="11" t="s">
        <v>123</v>
      </c>
      <c r="C17" s="11" t="s">
        <v>196</v>
      </c>
      <c r="D17" s="11" t="s">
        <v>232</v>
      </c>
      <c r="E17" s="11" t="s">
        <v>40</v>
      </c>
      <c r="F17" s="11" t="s">
        <v>233</v>
      </c>
    </row>
    <row r="18" spans="1:6">
      <c r="A18" s="12">
        <v>26</v>
      </c>
      <c r="B18" s="12" t="s">
        <v>123</v>
      </c>
      <c r="C18" s="12" t="s">
        <v>92</v>
      </c>
      <c r="D18" s="12" t="s">
        <v>234</v>
      </c>
      <c r="E18" s="12" t="s">
        <v>40</v>
      </c>
      <c r="F18" s="12" t="s">
        <v>233</v>
      </c>
    </row>
    <row r="19" spans="1:6">
      <c r="A19" s="11">
        <v>29</v>
      </c>
      <c r="B19" s="11" t="s">
        <v>135</v>
      </c>
      <c r="C19" s="11" t="s">
        <v>218</v>
      </c>
      <c r="D19" s="11" t="s">
        <v>235</v>
      </c>
      <c r="E19" s="11" t="s">
        <v>40</v>
      </c>
      <c r="F19" s="11" t="s">
        <v>236</v>
      </c>
    </row>
    <row r="20" spans="1:6">
      <c r="A20" s="12">
        <v>29</v>
      </c>
      <c r="B20" s="12" t="s">
        <v>135</v>
      </c>
      <c r="C20" s="12" t="s">
        <v>237</v>
      </c>
      <c r="D20" s="12" t="s">
        <v>238</v>
      </c>
      <c r="E20" s="12" t="s">
        <v>40</v>
      </c>
      <c r="F20" s="12" t="s">
        <v>239</v>
      </c>
    </row>
    <row r="21" spans="1:6">
      <c r="A21" s="13">
        <v>31</v>
      </c>
      <c r="B21" s="13" t="s">
        <v>143</v>
      </c>
      <c r="C21" s="13" t="s">
        <v>240</v>
      </c>
      <c r="D21" s="13" t="s">
        <v>241</v>
      </c>
      <c r="E21" s="13" t="s">
        <v>241</v>
      </c>
      <c r="F21" s="13" t="s">
        <v>242</v>
      </c>
    </row>
    <row r="22" ht="26" spans="1:6">
      <c r="A22" s="14">
        <v>33</v>
      </c>
      <c r="B22" s="14" t="s">
        <v>153</v>
      </c>
      <c r="C22" s="14" t="s">
        <v>243</v>
      </c>
      <c r="D22" s="14" t="s">
        <v>244</v>
      </c>
      <c r="E22" s="14" t="s">
        <v>245</v>
      </c>
      <c r="F22" s="14" t="s">
        <v>246</v>
      </c>
    </row>
    <row r="23" spans="1:6">
      <c r="A23" s="13">
        <v>34</v>
      </c>
      <c r="B23" s="13" t="s">
        <v>158</v>
      </c>
      <c r="C23" s="13" t="s">
        <v>247</v>
      </c>
      <c r="D23" s="13" t="s">
        <v>248</v>
      </c>
      <c r="E23" s="13" t="s">
        <v>249</v>
      </c>
      <c r="F23" s="13" t="s">
        <v>250</v>
      </c>
    </row>
    <row r="24" ht="26" spans="1:6">
      <c r="A24" s="14">
        <v>38</v>
      </c>
      <c r="B24" s="14" t="s">
        <v>178</v>
      </c>
      <c r="C24" s="14" t="s">
        <v>196</v>
      </c>
      <c r="D24" s="14" t="s">
        <v>251</v>
      </c>
      <c r="E24" s="14" t="s">
        <v>252</v>
      </c>
      <c r="F24" s="14" t="s">
        <v>253</v>
      </c>
    </row>
    <row r="25" ht="26" spans="1:6">
      <c r="A25" s="13">
        <v>39</v>
      </c>
      <c r="B25" s="13" t="s">
        <v>182</v>
      </c>
      <c r="C25" s="13" t="s">
        <v>254</v>
      </c>
      <c r="D25" s="13" t="s">
        <v>255</v>
      </c>
      <c r="E25" s="13" t="s">
        <v>256</v>
      </c>
      <c r="F25" s="13" t="s">
        <v>167</v>
      </c>
    </row>
  </sheetData>
  <mergeCells count="2">
    <mergeCell ref="A1:F1"/>
    <mergeCell ref="A2:F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:D1"/>
    </sheetView>
  </sheetViews>
  <sheetFormatPr defaultColWidth="9" defaultRowHeight="14.5" outlineLevelCol="3"/>
  <cols>
    <col min="1" max="1" width="28" customWidth="1"/>
    <col min="2" max="2" width="70" customWidth="1"/>
    <col min="3" max="3" width="4" customWidth="1"/>
    <col min="4" max="4" width="28" customWidth="1"/>
  </cols>
  <sheetData>
    <row r="1" ht="21" spans="1:4">
      <c r="A1" s="1" t="s">
        <v>257</v>
      </c>
      <c r="B1" s="1"/>
      <c r="C1" s="1"/>
      <c r="D1" s="1"/>
    </row>
    <row r="3" spans="1:4">
      <c r="A3" s="2" t="s">
        <v>258</v>
      </c>
      <c r="B3" s="2" t="s">
        <v>259</v>
      </c>
      <c r="D3" s="3" t="s">
        <v>260</v>
      </c>
    </row>
    <row r="4" spans="1:4">
      <c r="A4" s="4" t="s">
        <v>261</v>
      </c>
      <c r="B4" s="4" t="s">
        <v>262</v>
      </c>
      <c r="D4" s="4" t="s">
        <v>263</v>
      </c>
    </row>
    <row r="5" ht="18.5" spans="1:4">
      <c r="A5" s="4" t="s">
        <v>264</v>
      </c>
      <c r="B5" s="4" t="s">
        <v>16</v>
      </c>
      <c r="D5" s="5">
        <f>COUNTIF(Top40主目录!F5:F44,"*已找到*")</f>
        <v>38</v>
      </c>
    </row>
    <row r="6" ht="36" spans="1:4">
      <c r="A6" s="4" t="s">
        <v>265</v>
      </c>
      <c r="B6" s="4" t="s">
        <v>266</v>
      </c>
      <c r="D6" s="5" t="s">
        <v>267</v>
      </c>
    </row>
    <row r="7" ht="18.5" spans="1:4">
      <c r="A7" s="4" t="s">
        <v>268</v>
      </c>
      <c r="B7" s="4">
        <v>40</v>
      </c>
      <c r="D7" s="5">
        <f>40-D5</f>
        <v>2</v>
      </c>
    </row>
    <row r="8" spans="1:4">
      <c r="A8" s="4" t="s">
        <v>269</v>
      </c>
      <c r="B8" s="4">
        <v>21</v>
      </c>
    </row>
    <row r="10" ht="34" customHeight="1" spans="1:4">
      <c r="A10" s="6" t="s">
        <v>270</v>
      </c>
      <c r="B10" s="6"/>
      <c r="C10" s="6"/>
      <c r="D10" s="6"/>
    </row>
    <row r="11" ht="34" customHeight="1" spans="1:4">
      <c r="A11" s="7" t="s">
        <v>271</v>
      </c>
      <c r="B11" s="7"/>
      <c r="C11" s="7"/>
      <c r="D11" s="7"/>
    </row>
    <row r="12" ht="34" customHeight="1" spans="1:4">
      <c r="A12" s="7" t="s">
        <v>272</v>
      </c>
      <c r="B12" s="7"/>
      <c r="C12" s="7"/>
      <c r="D12" s="7"/>
    </row>
    <row r="13" ht="34" customHeight="1" spans="1:4">
      <c r="A13" s="7" t="s">
        <v>273</v>
      </c>
      <c r="B13" s="7"/>
      <c r="C13" s="7"/>
      <c r="D13" s="7"/>
    </row>
    <row r="14" ht="34" customHeight="1" spans="1:4">
      <c r="A14" s="7" t="s">
        <v>274</v>
      </c>
      <c r="B14" s="7"/>
      <c r="C14" s="7"/>
      <c r="D14" s="7"/>
    </row>
  </sheetData>
  <mergeCells count="6">
    <mergeCell ref="A1:D1"/>
    <mergeCell ref="A10:D10"/>
    <mergeCell ref="A11:D11"/>
    <mergeCell ref="A12:D12"/>
    <mergeCell ref="A13:D13"/>
    <mergeCell ref="A14:D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Top40主目录</vt:lpstr>
      <vt:lpstr>扩展相关院系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GradMate contributors</cp:lastModifiedBy>
  <dcterms:created xsi:type="dcterms:W3CDTF">2026-07-13T04:10:27Z</dcterms:created>
  <dcterms:modified xsi:type="dcterms:W3CDTF">2026-07-13T04:10:56Z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F030C9F065AB4F72A071811C7F3447D6_12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